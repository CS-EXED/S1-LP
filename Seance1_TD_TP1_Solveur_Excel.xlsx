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 - Mix batterie" sheetId="2" state="visible" r:id="rId2"/>
    <sheet xmlns:r="http://schemas.openxmlformats.org/officeDocument/2006/relationships" name="2 - Mix production" sheetId="3" state="visible" r:id="rId3"/>
    <sheet xmlns:r="http://schemas.openxmlformats.org/officeDocument/2006/relationships" name="3 - Mix production (ree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2761"/>
      <sz val="14"/>
    </font>
    <font>
      <b val="1"/>
      <color rgb="001E2761"/>
      <sz val="11"/>
    </font>
    <font>
      <b val="1"/>
      <color rgb="00FFFFFF"/>
    </font>
    <font>
      <i val="1"/>
      <color rgb="00808080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CADCFC"/>
      </patternFill>
    </fill>
    <fill>
      <patternFill patternType="solid">
        <fgColor rgb="00F9E795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TD1 / TP1 — Programmation linéaire avec le Solveur Excel</t>
        </is>
      </c>
    </row>
    <row r="4" ht="75" customHeight="1">
      <c r="B4" s="2" t="inlineStr">
        <is>
          <t>Ce classeur contient deux exercices à résoudre avec le Solveur. Pour chaque feuille : (1) lisez l'énoncé, (2) remplissez les cellules de variables de décision (surlignées en bleu), (3) activez le Solveur (Fichier &gt; Options &gt; Compléments &gt; Complément Solveur, ou Insertion &gt; Compléments sur Mac), (4) Données &gt; Solveur, définissez la cellule objectif, les cellules variables, ajoutez les contraintes indiquées, choisissez la méthode Simplexe PL, et résolvez.</t>
        </is>
      </c>
    </row>
    <row r="6">
      <c r="B6" s="3" t="inlineStr">
        <is>
          <t>Feuille 1 — Mix de cellules batterie ExedBike (problème type « régime »)</t>
        </is>
      </c>
    </row>
    <row r="7" ht="30" customHeight="1">
      <c r="B7" s="2" t="inlineStr">
        <is>
          <t>Mélanger trois fournisseurs de cellules pour atteindre des exigences minimales de densité énergétique et de marge de sécurité au coût le plus bas par pack — la structure classique du « problème du régime ».</t>
        </is>
      </c>
    </row>
    <row r="9">
      <c r="B9" s="3" t="inlineStr">
        <is>
          <t>Feuille 2 — Mix de production ExedBike, version simplifiée (à comparer avec le TP1, Exercice 4)</t>
        </is>
      </c>
    </row>
    <row r="10" ht="55" customHeight="1">
      <c r="B10" s="2" t="inlineStr">
        <is>
          <t>Même PL de mix de production que le TP1 Exercice 4 (Urban / Cargo, avant l'extension de gamme). Résolvez-le avec le Solveur et vérifiez que vous retrouvez Urban=75, Cargo=30, marge=15000 comme en Python et en TD1 — l'intérêt de cette feuille est de retrouver le MÊME optimum par une méthode de résolution totalement différente (simplexe intégré à Excel).</t>
        </is>
      </c>
    </row>
    <row r="12">
      <c r="B12" t="inlineStr">
        <is>
          <t>Feuille 3 — Mix de production ExedBike, gamme réelle (Projet individuel, Partie 1 — à rendre)</t>
        </is>
      </c>
    </row>
    <row r="13">
      <c r="B13" t="inlineStr">
        <is>
          <t>Le PL à trois produits (Urban / Cargo / Sport) formulé en TD1 (Partie projet) et à résoudre pour le projet individuel. Résolvez-le ici avec le Solveur comme vérification croisée de votre notebook Python (PuLP ou scipy.optimize.linprog) — ce n'est pas un livrable supplémentaire, seulement une façon indépendante de vérifier votre résultat avant de le rendre.</t>
        </is>
      </c>
    </row>
  </sheetData>
  <mergeCells count="3">
    <mergeCell ref="B4:H4"/>
    <mergeCell ref="B10:H10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Mix de cellules batterie ExedBike</t>
        </is>
      </c>
    </row>
    <row r="3">
      <c r="B3" s="2" t="inlineStr">
        <is>
          <t>Mélange de 3 fournisseurs de cellules (A, B, C) au coût minimal par pack, respectant les minimums techniques.</t>
        </is>
      </c>
    </row>
    <row r="5">
      <c r="B5" s="4" t="inlineStr">
        <is>
          <t>Fournisseur</t>
        </is>
      </c>
      <c r="C5" s="4" t="inlineStr">
        <is>
          <t>Coût (EUR/kg)</t>
        </is>
      </c>
      <c r="D5" s="4" t="inlineStr">
        <is>
          <t>Densité énergie (Wh/kg)</t>
        </is>
      </c>
      <c r="E5" s="4" t="inlineStr">
        <is>
          <t>Marge de sécurité (pts)</t>
        </is>
      </c>
    </row>
    <row r="6">
      <c r="B6" s="5" t="inlineStr">
        <is>
          <t>A</t>
        </is>
      </c>
      <c r="C6" s="5" t="n">
        <v>14</v>
      </c>
      <c r="D6" s="5" t="n">
        <v>220</v>
      </c>
      <c r="E6" s="5" t="n">
        <v>6</v>
      </c>
    </row>
    <row r="7">
      <c r="B7" s="5" t="inlineStr">
        <is>
          <t>B</t>
        </is>
      </c>
      <c r="C7" s="5" t="n">
        <v>9</v>
      </c>
      <c r="D7" s="5" t="n">
        <v>150</v>
      </c>
      <c r="E7" s="5" t="n">
        <v>9</v>
      </c>
    </row>
    <row r="8">
      <c r="B8" s="5" t="inlineStr">
        <is>
          <t>C</t>
        </is>
      </c>
      <c r="C8" s="5" t="n">
        <v>20</v>
      </c>
      <c r="D8" s="5" t="n">
        <v>260</v>
      </c>
      <c r="E8" s="5" t="n">
        <v>4</v>
      </c>
    </row>
    <row r="10" ht="30" customHeight="1">
      <c r="B10" s="2" t="inlineStr">
        <is>
          <t>Exigence du pack : &gt;= 200 Wh/kg de densité énergie moyenne, &gt;= 6 pts de marge de sécurité moyenne, exactement 1 kg de mélange par pack.</t>
        </is>
      </c>
    </row>
    <row r="13">
      <c r="B13" s="3" t="inlineStr">
        <is>
          <t>Variables de décision (kg de chaque fournisseur par pack de 1 kg)</t>
        </is>
      </c>
    </row>
    <row r="14">
      <c r="B14" s="6" t="inlineStr">
        <is>
          <t>Fournisseur</t>
        </is>
      </c>
      <c r="C14" s="6" t="inlineStr">
        <is>
          <t>x (kg)</t>
        </is>
      </c>
    </row>
    <row r="15">
      <c r="B15" s="5" t="inlineStr">
        <is>
          <t>A</t>
        </is>
      </c>
      <c r="C15" s="7" t="n">
        <v>0.33</v>
      </c>
    </row>
    <row r="16">
      <c r="B16" s="5" t="inlineStr">
        <is>
          <t>B</t>
        </is>
      </c>
      <c r="C16" s="7" t="n">
        <v>0.33</v>
      </c>
    </row>
    <row r="17">
      <c r="B17" s="5" t="inlineStr">
        <is>
          <t>C</t>
        </is>
      </c>
      <c r="C17" s="7" t="n">
        <v>0.33</v>
      </c>
    </row>
    <row r="19">
      <c r="B19" s="3" t="inlineStr">
        <is>
          <t>Objectif (minimiser) : coût total par pack (EUR)</t>
        </is>
      </c>
      <c r="D19" s="8">
        <f>SUMPRODUCT(C15:C17,C6:C8)</f>
        <v/>
      </c>
    </row>
    <row r="21">
      <c r="B21" s="3" t="inlineStr">
        <is>
          <t>Contraintes</t>
        </is>
      </c>
    </row>
    <row r="22">
      <c r="B22" t="inlineStr">
        <is>
          <t>Mélange total = 1 kg</t>
        </is>
      </c>
      <c r="D22" s="5">
        <f>SUM(C15:C17)</f>
        <v/>
      </c>
      <c r="E22">
        <f> 1</f>
        <v/>
      </c>
    </row>
    <row r="23">
      <c r="B23" t="inlineStr">
        <is>
          <t>Densité énergie &gt;= 200 Wh/kg</t>
        </is>
      </c>
      <c r="D23" s="5">
        <f>SUMPRODUCT(C15:C17,D6:D8)</f>
        <v/>
      </c>
      <c r="E23" t="inlineStr">
        <is>
          <t>&gt;= 200</t>
        </is>
      </c>
    </row>
    <row r="24">
      <c r="B24" t="inlineStr">
        <is>
          <t>Marge de sécurité &gt;= 6 pts</t>
        </is>
      </c>
      <c r="D24" s="5">
        <f>SUMPRODUCT(C15:C17,E6:E8)</f>
        <v/>
      </c>
      <c r="E24" t="inlineStr">
        <is>
          <t>&gt;= 6</t>
        </is>
      </c>
    </row>
    <row r="25">
      <c r="B25" t="inlineStr">
        <is>
          <t>x &gt;= 0 (non-négativité)</t>
        </is>
      </c>
      <c r="D25" s="5" t="n"/>
    </row>
    <row r="27" ht="30" customHeight="1">
      <c r="B27" s="2" t="inlineStr">
        <is>
          <t>Paramétrage Solveur : Objectif = D19 (Min) ; Variables = C15:C17 ; Contraintes : D22=1, D23&gt;=200, D24&gt;=6, C15:C17&gt;=0.</t>
        </is>
      </c>
    </row>
  </sheetData>
  <mergeCells count="4">
    <mergeCell ref="B10:F10"/>
    <mergeCell ref="B27:F27"/>
    <mergeCell ref="B13:F13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Mix de production hebdomadaire ExedBike</t>
        </is>
      </c>
    </row>
    <row r="3">
      <c r="B3" s="2" t="inlineStr">
        <is>
          <t>Même problème que le TP1 Exercice 4 — résolvez-le ici avec le Solveur Excel et comparez avec Python.</t>
        </is>
      </c>
    </row>
    <row r="5">
      <c r="B5" s="4" t="inlineStr">
        <is>
          <t>Ressource</t>
        </is>
      </c>
      <c r="C5" s="4" t="inlineStr">
        <is>
          <t>Urban (par unité)</t>
        </is>
      </c>
      <c r="D5" s="4" t="inlineStr">
        <is>
          <t>Cargo (par unité)</t>
        </is>
      </c>
      <c r="E5" s="4" t="inlineStr">
        <is>
          <t>Disponible</t>
        </is>
      </c>
    </row>
    <row r="6">
      <c r="B6" s="5" t="inlineStr">
        <is>
          <t>Main-d'oeuvre (h)</t>
        </is>
      </c>
      <c r="C6" s="5" t="n">
        <v>4</v>
      </c>
      <c r="D6" s="5" t="n">
        <v>6</v>
      </c>
      <c r="E6" s="5" t="n">
        <v>480</v>
      </c>
    </row>
    <row r="7">
      <c r="B7" s="5" t="inlineStr">
        <is>
          <t>Aluminium (kg)</t>
        </is>
      </c>
      <c r="C7" s="5" t="n">
        <v>6</v>
      </c>
      <c r="D7" s="5" t="n">
        <v>15</v>
      </c>
      <c r="E7" s="5" t="n">
        <v>900</v>
      </c>
    </row>
    <row r="8">
      <c r="B8" s="5" t="inlineStr">
        <is>
          <t>Temps machine (h)</t>
        </is>
      </c>
      <c r="C8" s="5" t="n">
        <v>2</v>
      </c>
      <c r="D8" s="5" t="n">
        <v>2</v>
      </c>
      <c r="E8" s="5" t="n">
        <v>240</v>
      </c>
    </row>
    <row r="9">
      <c r="B9" s="5" t="inlineStr">
        <is>
          <t>Marge (EUR/unité)</t>
        </is>
      </c>
      <c r="C9" s="5" t="n">
        <v>120</v>
      </c>
      <c r="D9" s="5" t="n">
        <v>200</v>
      </c>
    </row>
    <row r="12">
      <c r="B12" s="3" t="inlineStr">
        <is>
          <t>Variables de décision (unités produites cette semaine)</t>
        </is>
      </c>
    </row>
    <row r="13">
      <c r="B13" s="5" t="inlineStr">
        <is>
          <t>Urban</t>
        </is>
      </c>
      <c r="C13" s="7" t="n">
        <v>10</v>
      </c>
    </row>
    <row r="14">
      <c r="B14" s="5" t="inlineStr">
        <is>
          <t>Cargo</t>
        </is>
      </c>
      <c r="C14" s="7" t="n">
        <v>10</v>
      </c>
    </row>
    <row r="16">
      <c r="B16" s="3" t="inlineStr">
        <is>
          <t>Objectif (maximiser) : marge hebdomadaire (EUR)</t>
        </is>
      </c>
      <c r="D16" s="8">
        <f>C13*C9+C14*D9</f>
        <v/>
      </c>
    </row>
    <row r="18">
      <c r="B18" s="3" t="inlineStr">
        <is>
          <t>Contraintes</t>
        </is>
      </c>
    </row>
    <row r="19">
      <c r="B19" t="inlineStr">
        <is>
          <t>Main-d'oeuvre &lt;= 480</t>
        </is>
      </c>
      <c r="D19" s="5">
        <f>C13*C6+C14*D6</f>
        <v/>
      </c>
    </row>
    <row r="20">
      <c r="B20" t="inlineStr">
        <is>
          <t>Aluminium &lt;= 900</t>
        </is>
      </c>
      <c r="D20" s="5">
        <f>C13*C7+C14*D7</f>
        <v/>
      </c>
    </row>
    <row r="21">
      <c r="B21" t="inlineStr">
        <is>
          <t>Temps machine &lt;= 240</t>
        </is>
      </c>
      <c r="D21" s="5">
        <f>C13*C8+C14*D8</f>
        <v/>
      </c>
    </row>
    <row r="23" ht="30" customHeight="1">
      <c r="B23" s="2" t="inlineStr">
        <is>
          <t>Paramétrage Solveur : Objectif = D16 (Max) ; Variables = C13:C14 ; Contraintes : D19&lt;=480, D20&lt;=900, D21&lt;=240, C13:C14&gt;=0.</t>
        </is>
      </c>
    </row>
    <row r="25">
      <c r="B25" s="9" t="inlineStr">
        <is>
          <t>Optimum attendu (à comparer avec le TP1) : Urban = 75, Cargo = 30, marge = 15 000 EUR.</t>
        </is>
      </c>
    </row>
  </sheetData>
  <mergeCells count="4">
    <mergeCell ref="B12:D12"/>
    <mergeCell ref="B23:F23"/>
    <mergeCell ref="B25:F25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2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2">
      <c r="B2" s="10" t="inlineStr">
        <is>
          <t>Mix de production hebdomadaire ExedBike — gamme réelle (3 produits)</t>
        </is>
      </c>
    </row>
    <row r="3">
      <c r="B3" t="inlineStr">
        <is>
          <t>Même problème que le Projet individuel Partie 1 (TD1 / TP1) — résolvez-le ici avec le Solveur et comparez avec Python.</t>
        </is>
      </c>
    </row>
    <row r="5">
      <c r="B5" s="11" t="inlineStr">
        <is>
          <t>Ressource</t>
        </is>
      </c>
      <c r="C5" s="11" t="inlineStr">
        <is>
          <t>Urban</t>
        </is>
      </c>
      <c r="D5" s="11" t="inlineStr">
        <is>
          <t>Cargo</t>
        </is>
      </c>
      <c r="E5" s="11" t="inlineStr">
        <is>
          <t>Sport</t>
        </is>
      </c>
      <c r="F5" s="11" t="inlineStr">
        <is>
          <t>Disponible</t>
        </is>
      </c>
    </row>
    <row r="6">
      <c r="B6" t="inlineStr">
        <is>
          <t>Main-d'oeuvre (h)</t>
        </is>
      </c>
      <c r="C6" t="n">
        <v>4</v>
      </c>
      <c r="D6" t="n">
        <v>6</v>
      </c>
      <c r="E6" t="n">
        <v>5</v>
      </c>
      <c r="F6" t="n">
        <v>520</v>
      </c>
    </row>
    <row r="7">
      <c r="B7" t="inlineStr">
        <is>
          <t>Aluminium (kg)</t>
        </is>
      </c>
      <c r="C7" t="n">
        <v>6</v>
      </c>
      <c r="D7" t="n">
        <v>15</v>
      </c>
      <c r="E7" t="n">
        <v>9</v>
      </c>
      <c r="F7" t="n">
        <v>1100</v>
      </c>
    </row>
    <row r="8">
      <c r="B8" t="inlineStr">
        <is>
          <t>Temps machine (h)</t>
        </is>
      </c>
      <c r="C8" t="n">
        <v>2</v>
      </c>
      <c r="D8" t="n">
        <v>2</v>
      </c>
      <c r="E8" t="n">
        <v>3</v>
      </c>
      <c r="F8" t="n">
        <v>260</v>
      </c>
    </row>
    <row r="9">
      <c r="B9" t="inlineStr">
        <is>
          <t>Marge (EUR/unite)</t>
        </is>
      </c>
      <c r="C9" t="n">
        <v>120</v>
      </c>
      <c r="D9" t="n">
        <v>200</v>
      </c>
      <c r="E9" t="n">
        <v>175</v>
      </c>
    </row>
    <row r="12">
      <c r="B12" s="11" t="inlineStr">
        <is>
          <t>Variables de decision (unites produites cette semaine)</t>
        </is>
      </c>
    </row>
    <row r="13">
      <c r="B13" t="inlineStr">
        <is>
          <t>Urban</t>
        </is>
      </c>
      <c r="C13" s="12" t="n">
        <v>10</v>
      </c>
    </row>
    <row r="14">
      <c r="B14" t="inlineStr">
        <is>
          <t>Cargo</t>
        </is>
      </c>
      <c r="C14" s="12" t="n">
        <v>10</v>
      </c>
    </row>
    <row r="15">
      <c r="B15" t="inlineStr">
        <is>
          <t>Sport</t>
        </is>
      </c>
      <c r="C15" s="12" t="n">
        <v>10</v>
      </c>
    </row>
    <row r="17">
      <c r="B17" s="11" t="inlineStr">
        <is>
          <t>Objectif (maximiser) : marge hebdomadaire (EUR)</t>
        </is>
      </c>
      <c r="D17">
        <f>C13*C9+C14*D9+C15*E9</f>
        <v/>
      </c>
    </row>
    <row r="19">
      <c r="B19" s="11" t="inlineStr">
        <is>
          <t>Contraintes</t>
        </is>
      </c>
    </row>
    <row r="20">
      <c r="B20" t="inlineStr">
        <is>
          <t>Main-d'oeuvre &lt;= 520</t>
        </is>
      </c>
      <c r="D20">
        <f>C13*C6+C14*D6+C15*E6</f>
        <v/>
      </c>
    </row>
    <row r="21">
      <c r="B21" t="inlineStr">
        <is>
          <t>Aluminium &lt;= 1100</t>
        </is>
      </c>
      <c r="D21">
        <f>C13*C7+C14*D7+C15*E7</f>
        <v/>
      </c>
    </row>
    <row r="22">
      <c r="B22" t="inlineStr">
        <is>
          <t>Temps machine &lt;= 260</t>
        </is>
      </c>
      <c r="D22">
        <f>C13*C8+C14*D8+C15*E8</f>
        <v/>
      </c>
    </row>
    <row r="24">
      <c r="B24" t="inlineStr">
        <is>
          <t>Parametrage Solveur : Objectif = D17 (Max) ; Variables = C13:C15 ; Contraintes : D20&lt;=520, D21&lt;=1100, D22&lt;=260, C13:C15&gt;=0.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2026-09-23T06:40:09Z</dcterms:created>
  <dcterms:modified xmlns:dcterms="http://purl.org/dc/terms/" xmlns:xsi="http://www.w3.org/2001/XMLSchema-instance" xsi:type="dcterms:W3CDTF">2026-09-23T20:33:48Z</dcterms:modified>
</cp:coreProperties>
</file>