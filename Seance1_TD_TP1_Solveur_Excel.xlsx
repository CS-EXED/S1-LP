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ADJIB/Documents/ENSEIGNEMENT/CS/FC/Tutoriels optimisation-20260825/new/"/>
    </mc:Choice>
  </mc:AlternateContent>
  <xr:revisionPtr revIDLastSave="0" documentId="13_ncr:1_{9A74D0C3-4469-E943-8206-964AC0D51BCC}" xr6:coauthVersionLast="47" xr6:coauthVersionMax="47" xr10:uidLastSave="{00000000-0000-0000-0000-000000000000}"/>
  <bookViews>
    <workbookView xWindow="17120" yWindow="3860" windowWidth="34560" windowHeight="21580" xr2:uid="{00000000-000D-0000-FFFF-FFFF00000000}"/>
  </bookViews>
  <sheets>
    <sheet name="Lisez-moi" sheetId="1" r:id="rId1"/>
    <sheet name="1 - Mix batterie" sheetId="2" r:id="rId2"/>
    <sheet name="2 - Mix produc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3" l="1"/>
  <c r="D20" i="3"/>
  <c r="D19" i="3"/>
  <c r="D16" i="3"/>
  <c r="D24" i="2"/>
  <c r="D23" i="2"/>
  <c r="E22" i="2"/>
  <c r="D22" i="2"/>
  <c r="D19" i="2"/>
</calcChain>
</file>

<file path=xl/sharedStrings.xml><?xml version="1.0" encoding="utf-8"?>
<sst xmlns="http://schemas.openxmlformats.org/spreadsheetml/2006/main" count="51" uniqueCount="46">
  <si>
    <t>TD1 / TP1 — Programmation linéaire avec le Solveur Excel</t>
  </si>
  <si>
    <t>Ce classeur contient deux exercices à résoudre avec le Solveur. Pour chaque feuille : (1) lisez l'énoncé, (2) remplissez les cellules de variables de décision (surlignées en bleu), (3) activez le Solveur (Fichier &gt; Options &gt; Compléments &gt; Complément Solveur, ou Insertion &gt; Compléments sur Mac), (4) Données &gt; Solveur, définissez la cellule objectif, les cellules variables, ajoutez les contraintes indiquées, choisissez la méthode Simplexe PL, et résolvez.</t>
  </si>
  <si>
    <t>Mélanger trois fournisseurs de cellules pour atteindre des exigences minimales de densité énergétique et de marge de sécurité au coût le plus bas par pack — la structure classique du « problème du régime ».</t>
  </si>
  <si>
    <t>Même PL de mix de production que le TP1 Exercice 4 (Urban / Cargo). Résolvez-le avec le Solveur et vérifiez que vous retrouvez Urban=75, Cargo=30, marge=15000 comme en Python — l'intérêt de cette feuille est de retrouver le MÊME optimum par une méthode de résolution totalement différente (simplexe intégré à Excel).</t>
  </si>
  <si>
    <t>Mix de cellules batterie NovaBike</t>
  </si>
  <si>
    <t>Mélange de 3 fournisseurs de cellules (A, B, C) au coût minimal par pack, respectant les minimums techniques.</t>
  </si>
  <si>
    <t>Fournisseur</t>
  </si>
  <si>
    <t>Coût (EUR/kg)</t>
  </si>
  <si>
    <t>Densité énergie (Wh/kg)</t>
  </si>
  <si>
    <t>Marge de sécurité (pts)</t>
  </si>
  <si>
    <t>A</t>
  </si>
  <si>
    <t>B</t>
  </si>
  <si>
    <t>C</t>
  </si>
  <si>
    <t>Exigence du pack : &gt;= 200 Wh/kg de densité énergie moyenne, &gt;= 6 pts de marge de sécurité moyenne, exactement 1 kg de mélange par pack.</t>
  </si>
  <si>
    <t>Variables de décision (kg de chaque fournisseur par pack de 1 kg)</t>
  </si>
  <si>
    <t>x (kg)</t>
  </si>
  <si>
    <t>Objectif (minimiser) : coût total par pack (EUR)</t>
  </si>
  <si>
    <t>Contraintes</t>
  </si>
  <si>
    <t>Mélange total = 1 kg</t>
  </si>
  <si>
    <t>Densité énergie &gt;= 200 Wh/kg</t>
  </si>
  <si>
    <t>&gt;= 200</t>
  </si>
  <si>
    <t>Marge de sécurité &gt;= 6 pts</t>
  </si>
  <si>
    <t>&gt;= 6</t>
  </si>
  <si>
    <t>x &gt;= 0 (non-négativité)</t>
  </si>
  <si>
    <t>Paramétrage Solveur : Objectif = D19 (Min) ; Variables = C15:C17 ; Contraintes : D22=1, D23&gt;=200, D24&gt;=6, C15:C17&gt;=0.</t>
  </si>
  <si>
    <t>Même problème que le TP1 Exercice 4 — résolvez-le ici avec le Solveur Excel et comparez avec Python.</t>
  </si>
  <si>
    <t>Ressource</t>
  </si>
  <si>
    <t>Urban (par unité)</t>
  </si>
  <si>
    <t>Cargo (par unité)</t>
  </si>
  <si>
    <t>Disponible</t>
  </si>
  <si>
    <t>Main-d'oeuvre (h)</t>
  </si>
  <si>
    <t>Aluminium (kg)</t>
  </si>
  <si>
    <t>Temps machine (h)</t>
  </si>
  <si>
    <t>Marge (EUR/unité)</t>
  </si>
  <si>
    <t>Variables de décision (unités produites cette semaine)</t>
  </si>
  <si>
    <t>Urban</t>
  </si>
  <si>
    <t>Cargo</t>
  </si>
  <si>
    <t>Objectif (maximiser) : marge hebdomadaire (EUR)</t>
  </si>
  <si>
    <t>Main-d'oeuvre &lt;= 480</t>
  </si>
  <si>
    <t>Aluminium &lt;= 900</t>
  </si>
  <si>
    <t>Temps machine &lt;= 240</t>
  </si>
  <si>
    <t>Paramétrage Solveur : Objectif = D16 (Max) ; Variables = C13:C14 ; Contraintes : D19&lt;=480, D20&lt;=900, D21&lt;=240, C13:C14&gt;=0.</t>
  </si>
  <si>
    <t>Optimum attendu (à comparer avec le TP1) : Urban = 75, Cargo = 30, marge = 15 000 EUR.</t>
  </si>
  <si>
    <t>Mix de production hebdomadaire ExedBike</t>
  </si>
  <si>
    <t>Feuille 1 — Mix de cellules batterie ExedBike (problème type « régime »)</t>
  </si>
  <si>
    <t>Feuille 2 — Mix de production ExedBike (à comparer avec le TP1, Exercice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</si>
</sst>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E2761"/>
      <name val="Calibri"/>
      <family val="2"/>
    </font>
    <font>
      <b/>
      <sz val="11"/>
      <color rgb="FF1E2761"/>
      <name val="Calibri"/>
      <family val="2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CADCFC"/>
      </patternFill>
    </fill>
    <fill>
      <patternFill patternType="solid">
        <fgColor rgb="FFF9E795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wrapText="1"/>
    </xf>
    <xf numFmtId="0" fontId="0" fillId="0" borderId="1" xfId="0" applyBorder="1"/>
    <xf numFmtId="0" fontId="3" fillId="2" borderId="0" xfId="0" applyFont="1" applyFill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0" fontId="0" fillId="0" borderId="0" xfId="0"/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"/>
  <sheetViews>
    <sheetView tabSelected="1" topLeftCell="A4" zoomScale="200" workbookViewId="0">
      <selection activeCell="B7" sqref="B7:H7"/>
    </sheetView>
  </sheetViews>
  <sheetFormatPr baseColWidth="10" defaultColWidth="8.83203125" defaultRowHeight="15" x14ac:dyDescent="0.2"/>
  <cols>
    <col min="2" max="2" width="14" customWidth="1"/>
    <col min="3" max="8" width="12" customWidth="1"/>
  </cols>
  <sheetData>
    <row r="2" spans="2:8" ht="19" x14ac:dyDescent="0.25">
      <c r="B2" s="1" t="s">
        <v>0</v>
      </c>
    </row>
    <row r="4" spans="2:8" ht="75" customHeight="1" x14ac:dyDescent="0.2">
      <c r="B4" s="8" t="s">
        <v>1</v>
      </c>
      <c r="C4" s="9"/>
      <c r="D4" s="9"/>
      <c r="E4" s="9"/>
      <c r="F4" s="9"/>
      <c r="G4" s="9"/>
      <c r="H4" s="9"/>
    </row>
    <row r="6" spans="2:8" x14ac:dyDescent="0.2">
      <c r="B6" s="2" t="s">
        <v>44</v>
      </c>
    </row>
    <row r="7" spans="2:8" ht="30" customHeight="1" x14ac:dyDescent="0.2">
      <c r="B7" s="8" t="s">
        <v>2</v>
      </c>
      <c r="C7" s="9"/>
      <c r="D7" s="9"/>
      <c r="E7" s="9"/>
      <c r="F7" s="9"/>
      <c r="G7" s="9"/>
      <c r="H7" s="9"/>
    </row>
    <row r="9" spans="2:8" x14ac:dyDescent="0.2">
      <c r="B9" s="2" t="s">
        <v>45</v>
      </c>
    </row>
    <row r="10" spans="2:8" ht="55" customHeight="1" x14ac:dyDescent="0.2">
      <c r="B10" s="8" t="s">
        <v>3</v>
      </c>
      <c r="C10" s="9"/>
      <c r="D10" s="9"/>
      <c r="E10" s="9"/>
      <c r="F10" s="9"/>
      <c r="G10" s="9"/>
      <c r="H10" s="9"/>
    </row>
  </sheetData>
  <mergeCells count="3">
    <mergeCell ref="B4:H4"/>
    <mergeCell ref="B10:H10"/>
    <mergeCell ref="B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7"/>
  <sheetViews>
    <sheetView topLeftCell="A5" zoomScale="161" workbookViewId="0">
      <selection activeCell="D19" sqref="D19"/>
    </sheetView>
  </sheetViews>
  <sheetFormatPr baseColWidth="10" defaultColWidth="8.83203125" defaultRowHeight="15" x14ac:dyDescent="0.2"/>
  <cols>
    <col min="2" max="2" width="22" customWidth="1"/>
    <col min="3" max="3" width="12" customWidth="1"/>
    <col min="4" max="6" width="16" customWidth="1"/>
  </cols>
  <sheetData>
    <row r="2" spans="2:6" ht="19" x14ac:dyDescent="0.25">
      <c r="B2" s="1" t="s">
        <v>4</v>
      </c>
    </row>
    <row r="3" spans="2:6" x14ac:dyDescent="0.2">
      <c r="B3" s="8" t="s">
        <v>5</v>
      </c>
      <c r="C3" s="9"/>
      <c r="D3" s="9"/>
      <c r="E3" s="9"/>
      <c r="F3" s="9"/>
    </row>
    <row r="5" spans="2:6" ht="32" x14ac:dyDescent="0.2">
      <c r="B5" s="3" t="s">
        <v>6</v>
      </c>
      <c r="C5" s="3" t="s">
        <v>7</v>
      </c>
      <c r="D5" s="3" t="s">
        <v>8</v>
      </c>
      <c r="E5" s="3" t="s">
        <v>9</v>
      </c>
    </row>
    <row r="6" spans="2:6" x14ac:dyDescent="0.2">
      <c r="B6" s="4" t="s">
        <v>10</v>
      </c>
      <c r="C6" s="4">
        <v>14</v>
      </c>
      <c r="D6" s="4">
        <v>220</v>
      </c>
      <c r="E6" s="4">
        <v>6</v>
      </c>
    </row>
    <row r="7" spans="2:6" x14ac:dyDescent="0.2">
      <c r="B7" s="4" t="s">
        <v>11</v>
      </c>
      <c r="C7" s="4">
        <v>9</v>
      </c>
      <c r="D7" s="4">
        <v>150</v>
      </c>
      <c r="E7" s="4">
        <v>9</v>
      </c>
    </row>
    <row r="8" spans="2:6" x14ac:dyDescent="0.2">
      <c r="B8" s="4" t="s">
        <v>12</v>
      </c>
      <c r="C8" s="4">
        <v>20</v>
      </c>
      <c r="D8" s="4">
        <v>260</v>
      </c>
      <c r="E8" s="4">
        <v>4</v>
      </c>
    </row>
    <row r="10" spans="2:6" ht="30" customHeight="1" x14ac:dyDescent="0.2">
      <c r="B10" s="8" t="s">
        <v>13</v>
      </c>
      <c r="C10" s="9"/>
      <c r="D10" s="9"/>
      <c r="E10" s="9"/>
      <c r="F10" s="9"/>
    </row>
    <row r="13" spans="2:6" x14ac:dyDescent="0.2">
      <c r="B13" s="10" t="s">
        <v>14</v>
      </c>
      <c r="C13" s="9"/>
      <c r="D13" s="9"/>
      <c r="E13" s="9"/>
      <c r="F13" s="9"/>
    </row>
    <row r="14" spans="2:6" x14ac:dyDescent="0.2">
      <c r="B14" s="5" t="s">
        <v>6</v>
      </c>
      <c r="C14" s="5" t="s">
        <v>15</v>
      </c>
    </row>
    <row r="15" spans="2:6" x14ac:dyDescent="0.2">
      <c r="B15" s="4" t="s">
        <v>10</v>
      </c>
      <c r="C15" s="6">
        <v>0.33</v>
      </c>
    </row>
    <row r="16" spans="2:6" x14ac:dyDescent="0.2">
      <c r="B16" s="4" t="s">
        <v>11</v>
      </c>
      <c r="C16" s="6">
        <v>0.33</v>
      </c>
    </row>
    <row r="17" spans="2:6" x14ac:dyDescent="0.2">
      <c r="B17" s="4" t="s">
        <v>12</v>
      </c>
      <c r="C17" s="6">
        <v>0.33</v>
      </c>
    </row>
    <row r="19" spans="2:6" x14ac:dyDescent="0.2">
      <c r="B19" s="2" t="s">
        <v>16</v>
      </c>
      <c r="D19" s="7">
        <f>SUMPRODUCT(C15:C17,C6:C8)</f>
        <v>14.190000000000001</v>
      </c>
    </row>
    <row r="21" spans="2:6" x14ac:dyDescent="0.2">
      <c r="B21" s="2" t="s">
        <v>17</v>
      </c>
    </row>
    <row r="22" spans="2:6" x14ac:dyDescent="0.2">
      <c r="B22" t="s">
        <v>18</v>
      </c>
      <c r="D22" s="4">
        <f>SUM(C15:C17)</f>
        <v>0.99</v>
      </c>
      <c r="E22">
        <f>1</f>
        <v>1</v>
      </c>
    </row>
    <row r="23" spans="2:6" x14ac:dyDescent="0.2">
      <c r="B23" t="s">
        <v>19</v>
      </c>
      <c r="D23" s="4">
        <f>SUMPRODUCT(C15:C17,D6:D8)</f>
        <v>207.9</v>
      </c>
      <c r="E23" t="s">
        <v>20</v>
      </c>
    </row>
    <row r="24" spans="2:6" x14ac:dyDescent="0.2">
      <c r="B24" t="s">
        <v>21</v>
      </c>
      <c r="D24" s="4">
        <f>SUMPRODUCT(C15:C17,E6:E8)</f>
        <v>6.2700000000000005</v>
      </c>
      <c r="E24" t="s">
        <v>22</v>
      </c>
    </row>
    <row r="25" spans="2:6" x14ac:dyDescent="0.2">
      <c r="B25" t="s">
        <v>23</v>
      </c>
      <c r="D25" s="4"/>
    </row>
    <row r="27" spans="2:6" ht="30" customHeight="1" x14ac:dyDescent="0.2">
      <c r="B27" s="8" t="s">
        <v>24</v>
      </c>
      <c r="C27" s="9"/>
      <c r="D27" s="9"/>
      <c r="E27" s="9"/>
      <c r="F27" s="9"/>
    </row>
  </sheetData>
  <mergeCells count="4">
    <mergeCell ref="B10:F10"/>
    <mergeCell ref="B27:F27"/>
    <mergeCell ref="B13:F13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5"/>
  <sheetViews>
    <sheetView topLeftCell="A14" zoomScale="200" workbookViewId="0">
      <selection activeCell="D2" sqref="D2"/>
    </sheetView>
  </sheetViews>
  <sheetFormatPr baseColWidth="10" defaultColWidth="8.83203125" defaultRowHeight="15" x14ac:dyDescent="0.2"/>
  <cols>
    <col min="2" max="2" width="20" customWidth="1"/>
    <col min="3" max="6" width="16" customWidth="1"/>
  </cols>
  <sheetData>
    <row r="2" spans="2:6" ht="19" x14ac:dyDescent="0.25">
      <c r="B2" s="1" t="s">
        <v>43</v>
      </c>
    </row>
    <row r="3" spans="2:6" x14ac:dyDescent="0.2">
      <c r="B3" s="8" t="s">
        <v>25</v>
      </c>
      <c r="C3" s="9"/>
      <c r="D3" s="9"/>
      <c r="E3" s="9"/>
      <c r="F3" s="9"/>
    </row>
    <row r="5" spans="2:6" ht="16" x14ac:dyDescent="0.2">
      <c r="B5" s="3" t="s">
        <v>26</v>
      </c>
      <c r="C5" s="3" t="s">
        <v>27</v>
      </c>
      <c r="D5" s="3" t="s">
        <v>28</v>
      </c>
      <c r="E5" s="3" t="s">
        <v>29</v>
      </c>
    </row>
    <row r="6" spans="2:6" x14ac:dyDescent="0.2">
      <c r="B6" s="4" t="s">
        <v>30</v>
      </c>
      <c r="C6" s="4">
        <v>4</v>
      </c>
      <c r="D6" s="4">
        <v>6</v>
      </c>
      <c r="E6" s="4">
        <v>480</v>
      </c>
    </row>
    <row r="7" spans="2:6" x14ac:dyDescent="0.2">
      <c r="B7" s="4" t="s">
        <v>31</v>
      </c>
      <c r="C7" s="4">
        <v>6</v>
      </c>
      <c r="D7" s="4">
        <v>15</v>
      </c>
      <c r="E7" s="4">
        <v>900</v>
      </c>
    </row>
    <row r="8" spans="2:6" x14ac:dyDescent="0.2">
      <c r="B8" s="4" t="s">
        <v>32</v>
      </c>
      <c r="C8" s="4">
        <v>2</v>
      </c>
      <c r="D8" s="4">
        <v>2</v>
      </c>
      <c r="E8" s="4">
        <v>240</v>
      </c>
    </row>
    <row r="9" spans="2:6" x14ac:dyDescent="0.2">
      <c r="B9" s="4" t="s">
        <v>33</v>
      </c>
      <c r="C9" s="4">
        <v>120</v>
      </c>
      <c r="D9" s="4">
        <v>200</v>
      </c>
    </row>
    <row r="12" spans="2:6" x14ac:dyDescent="0.2">
      <c r="B12" s="10" t="s">
        <v>34</v>
      </c>
      <c r="C12" s="9"/>
      <c r="D12" s="9"/>
    </row>
    <row r="13" spans="2:6" x14ac:dyDescent="0.2">
      <c r="B13" s="4" t="s">
        <v>35</v>
      </c>
      <c r="C13" s="6">
        <v>10</v>
      </c>
    </row>
    <row r="14" spans="2:6" x14ac:dyDescent="0.2">
      <c r="B14" s="4" t="s">
        <v>36</v>
      </c>
      <c r="C14" s="6">
        <v>10</v>
      </c>
    </row>
    <row r="16" spans="2:6" x14ac:dyDescent="0.2">
      <c r="B16" s="2" t="s">
        <v>37</v>
      </c>
      <c r="D16" s="7">
        <f>C13*C9+C14*D9</f>
        <v>3200</v>
      </c>
    </row>
    <row r="18" spans="2:6" x14ac:dyDescent="0.2">
      <c r="B18" s="2" t="s">
        <v>17</v>
      </c>
    </row>
    <row r="19" spans="2:6" x14ac:dyDescent="0.2">
      <c r="B19" t="s">
        <v>38</v>
      </c>
      <c r="D19" s="4">
        <f>C13*C6+C14*D6</f>
        <v>100</v>
      </c>
    </row>
    <row r="20" spans="2:6" x14ac:dyDescent="0.2">
      <c r="B20" t="s">
        <v>39</v>
      </c>
      <c r="D20" s="4">
        <f>C13*C7+C14*D7</f>
        <v>210</v>
      </c>
    </row>
    <row r="21" spans="2:6" x14ac:dyDescent="0.2">
      <c r="B21" t="s">
        <v>40</v>
      </c>
      <c r="D21" s="4">
        <f>C13*C8+C14*D8</f>
        <v>40</v>
      </c>
    </row>
    <row r="23" spans="2:6" ht="30" customHeight="1" x14ac:dyDescent="0.2">
      <c r="B23" s="8" t="s">
        <v>41</v>
      </c>
      <c r="C23" s="9"/>
      <c r="D23" s="9"/>
      <c r="E23" s="9"/>
      <c r="F23" s="9"/>
    </row>
    <row r="25" spans="2:6" x14ac:dyDescent="0.2">
      <c r="B25" s="11" t="s">
        <v>42</v>
      </c>
      <c r="C25" s="9"/>
      <c r="D25" s="9"/>
      <c r="E25" s="9"/>
      <c r="F25" s="9"/>
    </row>
  </sheetData>
  <mergeCells count="4">
    <mergeCell ref="B12:D12"/>
    <mergeCell ref="B23:F23"/>
    <mergeCell ref="B25:F25"/>
    <mergeCell ref="B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Lisez-moi</vt:lpstr>
      <vt:lpstr>1 - Mix batterie</vt:lpstr>
      <vt:lpstr>2 - Mix production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Nadjib lazaar</cp:lastModifiedBy>
  <dcterms:created xsi:type="dcterms:W3CDTF">2026-09-21T18:55:10Z</dcterms:created>
  <dcterms:modified xsi:type="dcterms:W3CDTF">2026-09-24T05:45:15Z</dcterms:modified>
  <cp:category/>
</cp:coreProperties>
</file>